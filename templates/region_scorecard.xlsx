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;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/>
    </border>
    <border>
      <top style="medium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0" fontId="1" fillId="0" borderId="2" pivotButton="0" quotePrefix="0" xfId="0"/>
    <xf numFmtId="3" fontId="1" fillId="0" borderId="2" pivotButton="0" quotePrefix="0" xfId="0"/>
    <xf numFmtId="164" fontId="1" fillId="0" borderId="2" pivotButton="0" quotePrefix="0" xfId="0"/>
  </cellXfs>
  <cellStyles count="1">
    <cellStyle name="Normal" xfId="0" builtinId="0" hidden="0"/>
  </cellStyles>
  <dxfs count="1">
    <dxf>
      <font>
        <b val="1"/>
      </font>
      <fill>
        <patternFill patternType="solid">
          <fgColor rgb="00F6D5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3" customWidth="1" min="7" max="7"/>
    <col width="8" customWidth="1" min="8" max="8"/>
  </cols>
  <sheetData>
    <row r="1">
      <c r="A1" s="1" t="inlineStr">
        <is>
          <t>Region</t>
        </is>
      </c>
      <c r="B1" s="1" t="inlineStr">
        <is>
          <t>FY26 revenue</t>
        </is>
      </c>
      <c r="C1" s="1" t="inlineStr">
        <is>
          <t>FY26 target</t>
        </is>
      </c>
      <c r="D1" s="1" t="inlineStr">
        <is>
          <t>FY25 revenue</t>
        </is>
      </c>
      <c r="E1" s="1" t="inlineStr">
        <is>
          <t>Var to target</t>
        </is>
      </c>
      <c r="F1" s="1" t="inlineStr">
        <is>
          <t>Var to target %</t>
        </is>
      </c>
      <c r="G1" s="1" t="inlineStr">
        <is>
          <t>Var to LY %</t>
        </is>
      </c>
      <c r="H1" s="1" t="inlineStr">
        <is>
          <t>Flag</t>
        </is>
      </c>
    </row>
    <row r="2">
      <c r="A2" t="inlineStr">
        <is>
          <t>WA</t>
        </is>
      </c>
      <c r="B2" s="2" t="n">
        <v>482089.82</v>
      </c>
      <c r="C2" s="2" t="n">
        <v>566900</v>
      </c>
      <c r="D2" s="2" t="n">
        <v>539997.4300000001</v>
      </c>
      <c r="E2" s="2">
        <f>B2-C2</f>
        <v/>
      </c>
      <c r="F2" s="3">
        <f>IFERROR(B2/C2-1,"")</f>
        <v/>
      </c>
      <c r="G2" s="3">
        <f>IFERROR(B2/D2-1,"")</f>
        <v/>
      </c>
      <c r="H2">
        <f>IF(F2="","",IF(F2&lt;-0.05,"Below","OK"))</f>
        <v/>
      </c>
    </row>
    <row r="3">
      <c r="A3" t="inlineStr">
        <is>
          <t>VIC</t>
        </is>
      </c>
      <c r="B3" s="2" t="n">
        <v>1010420.86</v>
      </c>
      <c r="C3" s="2" t="n">
        <v>1027200</v>
      </c>
      <c r="D3" s="2" t="n">
        <v>978191.7</v>
      </c>
      <c r="E3" s="2">
        <f>B3-C3</f>
        <v/>
      </c>
      <c r="F3" s="3">
        <f>IFERROR(B3/C3-1,"")</f>
        <v/>
      </c>
      <c r="G3" s="3">
        <f>IFERROR(B3/D3-1,"")</f>
        <v/>
      </c>
      <c r="H3">
        <f>IF(F3="","",IF(F3&lt;-0.05,"Below","OK"))</f>
        <v/>
      </c>
    </row>
    <row r="4">
      <c r="A4" t="inlineStr">
        <is>
          <t>Online</t>
        </is>
      </c>
      <c r="B4" s="2" t="n">
        <v>1683607.34</v>
      </c>
      <c r="C4" s="2" t="n">
        <v>1662700</v>
      </c>
      <c r="D4" s="2" t="n">
        <v>1409113.84</v>
      </c>
      <c r="E4" s="2">
        <f>B4-C4</f>
        <v/>
      </c>
      <c r="F4" s="3">
        <f>IFERROR(B4/C4-1,"")</f>
        <v/>
      </c>
      <c r="G4" s="3">
        <f>IFERROR(B4/D4-1,"")</f>
        <v/>
      </c>
      <c r="H4">
        <f>IF(F4="","",IF(F4&lt;-0.05,"Below","OK"))</f>
        <v/>
      </c>
    </row>
    <row r="5">
      <c r="A5" t="inlineStr">
        <is>
          <t>SA</t>
        </is>
      </c>
      <c r="B5" s="2" t="n">
        <v>508325.58</v>
      </c>
      <c r="C5" s="2" t="n">
        <v>499000</v>
      </c>
      <c r="D5" s="2" t="n">
        <v>475197.16</v>
      </c>
      <c r="E5" s="2">
        <f>B5-C5</f>
        <v/>
      </c>
      <c r="F5" s="3">
        <f>IFERROR(B5/C5-1,"")</f>
        <v/>
      </c>
      <c r="G5" s="3">
        <f>IFERROR(B5/D5-1,"")</f>
        <v/>
      </c>
      <c r="H5">
        <f>IF(F5="","",IF(F5&lt;-0.05,"Below","OK"))</f>
        <v/>
      </c>
    </row>
    <row r="6">
      <c r="A6" t="inlineStr">
        <is>
          <t>NSW</t>
        </is>
      </c>
      <c r="B6" s="2" t="n">
        <v>1142208.49</v>
      </c>
      <c r="C6" s="2" t="n">
        <v>1113900</v>
      </c>
      <c r="D6" s="2" t="n">
        <v>1060970.62</v>
      </c>
      <c r="E6" s="2">
        <f>B6-C6</f>
        <v/>
      </c>
      <c r="F6" s="3">
        <f>IFERROR(B6/C6-1,"")</f>
        <v/>
      </c>
      <c r="G6" s="3">
        <f>IFERROR(B6/D6-1,"")</f>
        <v/>
      </c>
      <c r="H6">
        <f>IF(F6="","",IF(F6&lt;-0.05,"Below","OK"))</f>
        <v/>
      </c>
    </row>
    <row r="7">
      <c r="A7" t="inlineStr">
        <is>
          <t>QLD</t>
        </is>
      </c>
      <c r="B7" s="2" t="n">
        <v>946594.58</v>
      </c>
      <c r="C7" s="2" t="n">
        <v>905600</v>
      </c>
      <c r="D7" s="2" t="n">
        <v>846313.0699999999</v>
      </c>
      <c r="E7" s="2">
        <f>B7-C7</f>
        <v/>
      </c>
      <c r="F7" s="3">
        <f>IFERROR(B7/C7-1,"")</f>
        <v/>
      </c>
      <c r="G7" s="3">
        <f>IFERROR(B7/D7-1,"")</f>
        <v/>
      </c>
      <c r="H7">
        <f>IF(F7="","",IF(F7&lt;-0.05,"Below","OK"))</f>
        <v/>
      </c>
    </row>
    <row r="8">
      <c r="A8" s="4" t="inlineStr">
        <is>
          <t>Total</t>
        </is>
      </c>
      <c r="B8" s="5">
        <f>SUM(B2:B7)</f>
        <v/>
      </c>
      <c r="C8" s="5">
        <f>SUM(C2:C7)</f>
        <v/>
      </c>
      <c r="D8" s="5">
        <f>SUM(D2:D7)</f>
        <v/>
      </c>
      <c r="E8" s="5">
        <f>B8-C8</f>
        <v/>
      </c>
      <c r="F8" s="6">
        <f>IFERROR(B8/C8-1,"")</f>
        <v/>
      </c>
      <c r="G8" s="6">
        <f>IFERROR(B8/D8-1,"")</f>
        <v/>
      </c>
      <c r="H8" s="4" t="inlineStr"/>
    </row>
    <row r="11">
      <c r="A11" t="inlineStr">
        <is>
          <t>Formulas: F = IFERROR(B/C-1,""); G = IFERROR(B/D-1,""); H flags regions more than 5% under target.</t>
        </is>
      </c>
    </row>
    <row r="12">
      <c r="A12" t="inlineStr">
        <is>
          <t>Conditional formatting rule on A2:H7: =$F2&lt;-0.05 (pale red fill, bold). Data: Coastline Outfitters (fictional).</t>
        </is>
      </c>
    </row>
  </sheetData>
  <conditionalFormatting sqref="A2:H7">
    <cfRule type="expression" priority="1" dxfId="0">
      <formula>$F2&lt;-0.05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2026-10-08T10:41:14Z</dcterms:created>
  <dcterms:modified xmlns:dcterms="http://purl.org/dc/terms/" xmlns:xsi="http://www.w3.org/2001/XMLSchema-instance" xsi:type="dcterms:W3CDTF">2026-10-08T10:41:14Z</dcterms:modified>
</cp:coreProperties>
</file>